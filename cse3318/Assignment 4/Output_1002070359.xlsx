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Elvin\Documents\"/>
    </mc:Choice>
  </mc:AlternateContent>
  <xr:revisionPtr revIDLastSave="0" documentId="8_{65446A5C-6AA4-462D-869D-58858EC0BDF5}" xr6:coauthVersionLast="47" xr6:coauthVersionMax="47" xr10:uidLastSave="{00000000-0000-0000-0000-000000000000}"/>
  <bookViews>
    <workbookView xWindow="-120" yWindow="-120" windowWidth="29040" windowHeight="15840" xr2:uid="{4A00EAFC-8136-4C01-985A-E9A0D427D15A}"/>
  </bookViews>
  <sheets>
    <sheet name="Results" sheetId="1" r:id="rId1"/>
    <sheet name="Conclus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<sst xmlns="http://schemas.openxmlformats.org/spreadsheetml/2006/main" count="25" uniqueCount="15">
  <si>
    <t>Omega tics</t>
  </si>
  <si>
    <t>n</t>
  </si>
  <si>
    <t>QSR</t>
  </si>
  <si>
    <t>QSM</t>
  </si>
  <si>
    <t>QSRND</t>
  </si>
  <si>
    <t xml:space="preserve">QSR </t>
  </si>
  <si>
    <t>Omega tics - 100,000</t>
  </si>
  <si>
    <t>T5
Ordered</t>
  </si>
  <si>
    <t xml:space="preserve">
T1
Random</t>
  </si>
  <si>
    <t>T2
1/4 ordered
3/4 random</t>
  </si>
  <si>
    <t>T3
1/2 ordered
1/2 random</t>
  </si>
  <si>
    <t>T4
3/4 ordered
1/4 random</t>
  </si>
  <si>
    <t>PC tics</t>
  </si>
  <si>
    <t>PC tics - 100,000</t>
  </si>
  <si>
    <r>
      <t>The graph titled 'PC Tics for Quick Sort using Different Pivots' shows the total tics it took to run Quick Sort on my PC. The graph titled 'Omega Tics for Quick Sort using Different Pivots' shows the total tics it took to run Quick Sort on Omega. Each graph shows the three different pivots that were chosen when running Quick Sort, which resulted in different run times across the board. Calculating the different pivots isn't really worth it when running the seven files on PC and Omega. The right pivot performs better than the middle and random pivots on PC and Omega for the seven files. However, there is a very big difference in runtime when choosing the right pivot when running the five files I was given on PC and Omega. The middle and random pivots performed better than the right pivot the more ordered the file was because, as the orderedness increased, the right pivot wasn't able to take advantage of the recursion, which resulted in a very massive difference in runtimes between the right pivot and the other pivots. Quick Sort's average-case run time is as good as Merge Sorts, which is Θ (nlog</t>
    </r>
    <r>
      <rPr>
        <vertAlign val="subscript"/>
        <sz val="11"/>
        <color theme="1"/>
        <rFont val="Calibri"/>
        <family val="2"/>
        <scheme val="minor"/>
      </rPr>
      <t>2</t>
    </r>
    <r>
      <rPr>
        <sz val="11"/>
        <color theme="1"/>
        <rFont val="Calibri"/>
        <family val="2"/>
        <scheme val="minor"/>
      </rPr>
      <t>n). Quick Sort's worst case is as bad as Insertion Sorts, which is Θ (n</t>
    </r>
    <r>
      <rPr>
        <vertAlign val="superscript"/>
        <sz val="11"/>
        <color theme="1"/>
        <rFont val="Calibri"/>
        <family val="2"/>
        <scheme val="minor"/>
      </rPr>
      <t>2</t>
    </r>
    <r>
      <rPr>
        <sz val="11"/>
        <color theme="1"/>
        <rFont val="Calibri"/>
        <family val="2"/>
        <scheme val="minor"/>
      </rPr>
      <t>). I do agree that Quick Sort does better in practice compared to Merge Sort and Insertion Sort based on the data I collected. The orderliness of the file greatly affected the different pivots used in Quick Sort. For the middle and random pivots, the more ordered a file became, the better the runtime generally performed. However, this is the opposite of what happened when using the right pivot. Using the right pivot, the more ordered a file became, the worse the runtime became. The tics for the right pivot go from about 10,000 tics to just under 20 million tics from running the five files, showing that the right pivot isn't very good when dealing with ordered files. With that being said, I would still recommend the right pivot for files with orderedness, seeing as it performed better than middle and random pivots when running the seven files. Even so, I would pick the middle pivot first and then the random pivot second since they performed way better when dealing with the orderedness of the files.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</si>
</sst>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vertAlign val="superscript"/>
      <sz val="11"/>
      <color theme="1"/>
      <name val="Calibri"/>
      <family val="2"/>
      <scheme val="minor"/>
    </font>
    <font>
      <vertAlign val="subscript"/>
      <sz val="11"/>
      <color theme="1"/>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3" fontId="0" fillId="0" borderId="0" xfId="0" applyNumberFormat="1" applyAlignment="1">
      <alignment horizontal="left"/>
    </xf>
    <xf numFmtId="3" fontId="0" fillId="0" borderId="2" xfId="0" applyNumberFormat="1" applyBorder="1" applyAlignment="1">
      <alignment horizontal="left"/>
    </xf>
    <xf numFmtId="0" fontId="0" fillId="0" borderId="3" xfId="0" applyBorder="1"/>
    <xf numFmtId="0" fontId="0" fillId="0" borderId="0" xfId="0" applyAlignment="1">
      <alignment horizontal="left"/>
    </xf>
    <xf numFmtId="0" fontId="0" fillId="0" borderId="1" xfId="0" applyBorder="1"/>
    <xf numFmtId="3" fontId="0" fillId="0" borderId="1" xfId="0" applyNumberFormat="1" applyBorder="1" applyAlignment="1">
      <alignment horizontal="left"/>
    </xf>
    <xf numFmtId="0" fontId="0" fillId="2" borderId="3" xfId="0" applyFill="1" applyBorder="1"/>
    <xf numFmtId="0" fontId="0" fillId="0" borderId="3" xfId="0" applyBorder="1" applyAlignment="1">
      <alignment horizontal="center" wrapText="1"/>
    </xf>
    <xf numFmtId="3" fontId="0" fillId="0" borderId="3" xfId="0" applyNumberFormat="1" applyBorder="1" applyAlignment="1">
      <alignment horizontal="left"/>
    </xf>
    <xf numFmtId="0" fontId="0" fillId="0" borderId="0" xfId="0" applyAlignment="1">
      <alignment horizontal="center" wrapText="1"/>
    </xf>
    <xf numFmtId="0" fontId="0" fillId="0" borderId="3"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4"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0" xfId="0"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PC Tics</a:t>
            </a:r>
            <a:r>
              <a:rPr lang="en-US" baseline="0"/>
              <a:t> for Quick Sort using Different Pivots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Results!$B$2</c:f>
              <c:strCache>
                <c:ptCount val="1"/>
                <c:pt idx="0">
                  <c:v>QSR</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Results!$B$3:$B$9</c:f>
              <c:numCache>
                <c:formatCode>General</c:formatCode>
                <c:ptCount val="7"/>
                <c:pt idx="0">
                  <c:v>312</c:v>
                </c:pt>
                <c:pt idx="1">
                  <c:v>937</c:v>
                </c:pt>
                <c:pt idx="2">
                  <c:v>4843</c:v>
                </c:pt>
                <c:pt idx="3">
                  <c:v>10781</c:v>
                </c:pt>
                <c:pt idx="4">
                  <c:v>58437</c:v>
                </c:pt>
                <c:pt idx="5">
                  <c:v>126562</c:v>
                </c:pt>
                <c:pt idx="6">
                  <c:v>280781</c:v>
                </c:pt>
              </c:numCache>
            </c:numRef>
          </c:yVal>
          <c:smooth val="1"/>
          <c:extLst>
            <c:ext xmlns:c16="http://schemas.microsoft.com/office/drawing/2014/chart" uri="{C3380CC4-5D6E-409C-BE32-E72D297353CC}">
              <c16:uniqueId val="{00000000-EC86-4B31-B54B-D46D504F2344}"/>
            </c:ext>
          </c:extLst>
        </c:ser>
        <c:ser>
          <c:idx val="1"/>
          <c:order val="1"/>
          <c:tx>
            <c:strRef>
              <c:f>Results!$C$2</c:f>
              <c:strCache>
                <c:ptCount val="1"/>
                <c:pt idx="0">
                  <c:v>QSM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Results!$C$3:$C$9</c:f>
              <c:numCache>
                <c:formatCode>General</c:formatCode>
                <c:ptCount val="7"/>
                <c:pt idx="0">
                  <c:v>156</c:v>
                </c:pt>
                <c:pt idx="1">
                  <c:v>1093</c:v>
                </c:pt>
                <c:pt idx="2">
                  <c:v>5156</c:v>
                </c:pt>
                <c:pt idx="3">
                  <c:v>11562</c:v>
                </c:pt>
                <c:pt idx="4">
                  <c:v>62656</c:v>
                </c:pt>
                <c:pt idx="5">
                  <c:v>131093</c:v>
                </c:pt>
                <c:pt idx="6">
                  <c:v>286718</c:v>
                </c:pt>
              </c:numCache>
            </c:numRef>
          </c:yVal>
          <c:smooth val="1"/>
          <c:extLst>
            <c:ext xmlns:c16="http://schemas.microsoft.com/office/drawing/2014/chart" uri="{C3380CC4-5D6E-409C-BE32-E72D297353CC}">
              <c16:uniqueId val="{00000001-EC86-4B31-B54B-D46D504F2344}"/>
            </c:ext>
          </c:extLst>
        </c:ser>
        <c:ser>
          <c:idx val="2"/>
          <c:order val="2"/>
          <c:tx>
            <c:strRef>
              <c:f>Results!$D$2</c:f>
              <c:strCache>
                <c:ptCount val="1"/>
                <c:pt idx="0">
                  <c:v>QSRND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Results!$D$3:$D$9</c:f>
              <c:numCache>
                <c:formatCode>General</c:formatCode>
                <c:ptCount val="7"/>
                <c:pt idx="0">
                  <c:v>156</c:v>
                </c:pt>
                <c:pt idx="1">
                  <c:v>625</c:v>
                </c:pt>
                <c:pt idx="2">
                  <c:v>5781</c:v>
                </c:pt>
                <c:pt idx="3">
                  <c:v>11718</c:v>
                </c:pt>
                <c:pt idx="4">
                  <c:v>64531</c:v>
                </c:pt>
                <c:pt idx="5">
                  <c:v>136406</c:v>
                </c:pt>
                <c:pt idx="6">
                  <c:v>299062</c:v>
                </c:pt>
              </c:numCache>
            </c:numRef>
          </c:yVal>
          <c:smooth val="1"/>
          <c:extLst>
            <c:ext xmlns:c16="http://schemas.microsoft.com/office/drawing/2014/chart" uri="{C3380CC4-5D6E-409C-BE32-E72D297353CC}">
              <c16:uniqueId val="{00000002-EC86-4B31-B54B-D46D504F2344}"/>
            </c:ext>
          </c:extLst>
        </c:ser>
        <c:dLbls>
          <c:showLegendKey val="0"/>
          <c:showVal val="0"/>
          <c:showCatName val="0"/>
          <c:showSerName val="0"/>
          <c:showPercent val="0"/>
          <c:showBubbleSize val="0"/>
        </c:dLbls>
        <c:axId val="2052251888"/>
        <c:axId val="2052252848"/>
      </c:scatterChart>
      <c:valAx>
        <c:axId val="2052251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252848"/>
        <c:crosses val="autoZero"/>
        <c:crossBetween val="midCat"/>
      </c:valAx>
      <c:valAx>
        <c:axId val="205225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2518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Omega Tics for Quick</a:t>
            </a:r>
            <a:r>
              <a:rPr lang="en-US" baseline="0"/>
              <a:t> Sort using Different Pivots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Results!$E$2</c:f>
              <c:strCache>
                <c:ptCount val="1"/>
                <c:pt idx="0">
                  <c:v>QSR</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Results!$E$3:$E$9</c:f>
              <c:numCache>
                <c:formatCode>General</c:formatCode>
                <c:ptCount val="7"/>
                <c:pt idx="0">
                  <c:v>0</c:v>
                </c:pt>
                <c:pt idx="1">
                  <c:v>1300</c:v>
                </c:pt>
                <c:pt idx="2">
                  <c:v>8400</c:v>
                </c:pt>
                <c:pt idx="3">
                  <c:v>17000</c:v>
                </c:pt>
                <c:pt idx="4">
                  <c:v>93800</c:v>
                </c:pt>
                <c:pt idx="5">
                  <c:v>198400</c:v>
                </c:pt>
                <c:pt idx="6">
                  <c:v>442200</c:v>
                </c:pt>
              </c:numCache>
            </c:numRef>
          </c:yVal>
          <c:smooth val="1"/>
          <c:extLst>
            <c:ext xmlns:c16="http://schemas.microsoft.com/office/drawing/2014/chart" uri="{C3380CC4-5D6E-409C-BE32-E72D297353CC}">
              <c16:uniqueId val="{00000000-40B5-490A-8503-12734DB9F960}"/>
            </c:ext>
          </c:extLst>
        </c:ser>
        <c:ser>
          <c:idx val="1"/>
          <c:order val="1"/>
          <c:tx>
            <c:strRef>
              <c:f>Results!$F$2</c:f>
              <c:strCache>
                <c:ptCount val="1"/>
                <c:pt idx="0">
                  <c:v>QSM</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Results!$F$3:$F$9</c:f>
              <c:numCache>
                <c:formatCode>General</c:formatCode>
                <c:ptCount val="7"/>
                <c:pt idx="0">
                  <c:v>0</c:v>
                </c:pt>
                <c:pt idx="1">
                  <c:v>1500</c:v>
                </c:pt>
                <c:pt idx="2">
                  <c:v>8500</c:v>
                </c:pt>
                <c:pt idx="3">
                  <c:v>17400</c:v>
                </c:pt>
                <c:pt idx="4">
                  <c:v>96800</c:v>
                </c:pt>
                <c:pt idx="5">
                  <c:v>202300</c:v>
                </c:pt>
                <c:pt idx="6">
                  <c:v>447100</c:v>
                </c:pt>
              </c:numCache>
            </c:numRef>
          </c:yVal>
          <c:smooth val="1"/>
          <c:extLst>
            <c:ext xmlns:c16="http://schemas.microsoft.com/office/drawing/2014/chart" uri="{C3380CC4-5D6E-409C-BE32-E72D297353CC}">
              <c16:uniqueId val="{00000001-40B5-490A-8503-12734DB9F960}"/>
            </c:ext>
          </c:extLst>
        </c:ser>
        <c:ser>
          <c:idx val="2"/>
          <c:order val="2"/>
          <c:tx>
            <c:strRef>
              <c:f>Results!$G$2</c:f>
              <c:strCache>
                <c:ptCount val="1"/>
                <c:pt idx="0">
                  <c:v>QSRND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Results!$A$3:$A$9</c:f>
              <c:numCache>
                <c:formatCode>#,##0</c:formatCode>
                <c:ptCount val="7"/>
                <c:pt idx="0">
                  <c:v>1024</c:v>
                </c:pt>
                <c:pt idx="1">
                  <c:v>10000</c:v>
                </c:pt>
                <c:pt idx="2">
                  <c:v>50000</c:v>
                </c:pt>
                <c:pt idx="3">
                  <c:v>100000</c:v>
                </c:pt>
                <c:pt idx="4">
                  <c:v>500000</c:v>
                </c:pt>
                <c:pt idx="5">
                  <c:v>1000000</c:v>
                </c:pt>
                <c:pt idx="6">
                  <c:v>2000000</c:v>
                </c:pt>
              </c:numCache>
            </c:numRef>
          </c:xVal>
          <c:yVal>
            <c:numRef>
              <c:f>Results!$G$3:$G$9</c:f>
              <c:numCache>
                <c:formatCode>General</c:formatCode>
                <c:ptCount val="7"/>
                <c:pt idx="0">
                  <c:v>100</c:v>
                </c:pt>
                <c:pt idx="1">
                  <c:v>1400</c:v>
                </c:pt>
                <c:pt idx="2">
                  <c:v>8800</c:v>
                </c:pt>
                <c:pt idx="3">
                  <c:v>17800</c:v>
                </c:pt>
                <c:pt idx="4">
                  <c:v>98700</c:v>
                </c:pt>
                <c:pt idx="5">
                  <c:v>207600</c:v>
                </c:pt>
                <c:pt idx="6">
                  <c:v>453000</c:v>
                </c:pt>
              </c:numCache>
            </c:numRef>
          </c:yVal>
          <c:smooth val="1"/>
          <c:extLst>
            <c:ext xmlns:c16="http://schemas.microsoft.com/office/drawing/2014/chart" uri="{C3380CC4-5D6E-409C-BE32-E72D297353CC}">
              <c16:uniqueId val="{00000002-40B5-490A-8503-12734DB9F960}"/>
            </c:ext>
          </c:extLst>
        </c:ser>
        <c:dLbls>
          <c:showLegendKey val="0"/>
          <c:showVal val="0"/>
          <c:showCatName val="0"/>
          <c:showSerName val="0"/>
          <c:showPercent val="0"/>
          <c:showBubbleSize val="0"/>
        </c:dLbls>
        <c:axId val="2030025391"/>
        <c:axId val="2030033551"/>
      </c:scatterChart>
      <c:valAx>
        <c:axId val="20300253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033551"/>
        <c:crosses val="autoZero"/>
        <c:crossBetween val="midCat"/>
      </c:valAx>
      <c:valAx>
        <c:axId val="203003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0253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228599</xdr:colOff>
      <xdr:row>0</xdr:row>
      <xdr:rowOff>138111</xdr:rowOff>
    </xdr:from>
    <xdr:to>
      <xdr:col>19</xdr:col>
      <xdr:colOff>38100</xdr:colOff>
      <xdr:row>12</xdr:row>
      <xdr:rowOff>857250</xdr:rowOff>
    </xdr:to>
    <xdr:graphicFrame macro="">
      <xdr:nvGraphicFramePr>
        <xdr:cNvPr id="3" name="Chart 2">
          <a:extLst>
            <a:ext uri="{FF2B5EF4-FFF2-40B4-BE49-F238E27FC236}">
              <a16:creationId xmlns:a16="http://schemas.microsoft.com/office/drawing/2014/main" id="{56EED606-8AC7-BA9F-E5EE-F3518C5E3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285750</xdr:colOff>
      <xdr:row>0</xdr:row>
      <xdr:rowOff>128586</xdr:rowOff>
    </xdr:from>
    <xdr:to>
      <xdr:col>27</xdr:col>
      <xdr:colOff>438150</xdr:colOff>
      <xdr:row>12</xdr:row>
      <xdr:rowOff>809624</xdr:rowOff>
    </xdr:to>
    <xdr:graphicFrame macro="">
      <xdr:nvGraphicFramePr>
        <xdr:cNvPr id="2" name="Chart 1">
          <a:extLst>
            <a:ext uri="{FF2B5EF4-FFF2-40B4-BE49-F238E27FC236}">
              <a16:creationId xmlns:a16="http://schemas.microsoft.com/office/drawing/2014/main" id="{DF1AC2A8-9798-8FC8-9611-F2B9E16B4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FA7EA-335B-484F-A557-606D409DE0A3}">
  <dimension ref="A1:K29"/>
  <sheetViews>
    <sheetView tabSelected="1" workbookViewId="0">
      <selection activeCell="G20" sqref="G20"/>
    </sheetView>
  </sheetViews>
  <sheetFormatPr defaultRowHeight="15" x14ac:dyDescent="0.25"/>
  <cols>
    <col min="1" max="1" width="9.140625" style="4" bestFit="1" customWidth="1"/>
    <col min="2" max="2" width="7.28515625" bestFit="1" customWidth="1"/>
    <col min="3" max="5" width="10.140625" bestFit="1" customWidth="1"/>
    <col min="6" max="6" width="9" bestFit="1" customWidth="1"/>
    <col min="8" max="8" width="11.28515625" bestFit="1" customWidth="1"/>
    <col min="9" max="11" width="11.28515625" customWidth="1"/>
  </cols>
  <sheetData>
    <row r="1" spans="1:11" x14ac:dyDescent="0.25">
      <c r="A1" s="6"/>
      <c r="B1" s="12" t="s">
        <v>12</v>
      </c>
      <c r="C1" s="13"/>
      <c r="D1" s="14"/>
      <c r="E1" s="12" t="s">
        <v>0</v>
      </c>
      <c r="F1" s="13"/>
      <c r="G1" s="14"/>
      <c r="I1" s="3"/>
      <c r="J1" s="5"/>
    </row>
    <row r="2" spans="1:11" x14ac:dyDescent="0.25">
      <c r="A2" s="9" t="s">
        <v>1</v>
      </c>
      <c r="B2" s="3" t="s">
        <v>2</v>
      </c>
      <c r="C2" s="3" t="s">
        <v>3</v>
      </c>
      <c r="D2" s="3" t="s">
        <v>4</v>
      </c>
      <c r="E2" s="3" t="s">
        <v>2</v>
      </c>
      <c r="F2" s="3" t="s">
        <v>3</v>
      </c>
      <c r="G2" s="3" t="s">
        <v>4</v>
      </c>
    </row>
    <row r="3" spans="1:11" x14ac:dyDescent="0.25">
      <c r="A3" s="9">
        <v>1024</v>
      </c>
      <c r="B3" s="3">
        <v>312</v>
      </c>
      <c r="C3" s="3">
        <v>156</v>
      </c>
      <c r="D3" s="3">
        <v>156</v>
      </c>
      <c r="E3" s="3">
        <v>0</v>
      </c>
      <c r="F3" s="3">
        <v>0</v>
      </c>
      <c r="G3" s="3">
        <v>100</v>
      </c>
    </row>
    <row r="4" spans="1:11" x14ac:dyDescent="0.25">
      <c r="A4" s="9">
        <v>10000</v>
      </c>
      <c r="B4" s="3">
        <v>937</v>
      </c>
      <c r="C4" s="3">
        <v>1093</v>
      </c>
      <c r="D4" s="3">
        <v>625</v>
      </c>
      <c r="E4" s="3">
        <v>1300</v>
      </c>
      <c r="F4" s="3">
        <v>1500</v>
      </c>
      <c r="G4" s="3">
        <v>1400</v>
      </c>
    </row>
    <row r="5" spans="1:11" x14ac:dyDescent="0.25">
      <c r="A5" s="9">
        <v>50000</v>
      </c>
      <c r="B5" s="3">
        <v>4843</v>
      </c>
      <c r="C5" s="3">
        <v>5156</v>
      </c>
      <c r="D5" s="3">
        <v>5781</v>
      </c>
      <c r="E5" s="3">
        <v>8400</v>
      </c>
      <c r="F5" s="3">
        <v>8500</v>
      </c>
      <c r="G5" s="3">
        <v>8800</v>
      </c>
    </row>
    <row r="6" spans="1:11" x14ac:dyDescent="0.25">
      <c r="A6" s="9">
        <v>100000</v>
      </c>
      <c r="B6" s="3">
        <v>10781</v>
      </c>
      <c r="C6" s="3">
        <v>11562</v>
      </c>
      <c r="D6" s="3">
        <v>11718</v>
      </c>
      <c r="E6" s="3">
        <v>17000</v>
      </c>
      <c r="F6" s="3">
        <v>17400</v>
      </c>
      <c r="G6" s="3">
        <v>17800</v>
      </c>
    </row>
    <row r="7" spans="1:11" x14ac:dyDescent="0.25">
      <c r="A7" s="9">
        <v>500000</v>
      </c>
      <c r="B7" s="3">
        <v>58437</v>
      </c>
      <c r="C7" s="3">
        <v>62656</v>
      </c>
      <c r="D7" s="3">
        <v>64531</v>
      </c>
      <c r="E7" s="3">
        <v>93800</v>
      </c>
      <c r="F7" s="3">
        <v>96800</v>
      </c>
      <c r="G7" s="3">
        <v>98700</v>
      </c>
    </row>
    <row r="8" spans="1:11" x14ac:dyDescent="0.25">
      <c r="A8" s="9">
        <v>1000000</v>
      </c>
      <c r="B8" s="3">
        <v>126562</v>
      </c>
      <c r="C8" s="3">
        <v>131093</v>
      </c>
      <c r="D8" s="3">
        <v>136406</v>
      </c>
      <c r="E8" s="3">
        <v>198400</v>
      </c>
      <c r="F8" s="3">
        <v>202300</v>
      </c>
      <c r="G8" s="3">
        <v>207600</v>
      </c>
    </row>
    <row r="9" spans="1:11" x14ac:dyDescent="0.25">
      <c r="A9" s="9">
        <v>2000000</v>
      </c>
      <c r="B9" s="3">
        <v>280781</v>
      </c>
      <c r="C9" s="3">
        <v>286718</v>
      </c>
      <c r="D9" s="3">
        <v>299062</v>
      </c>
      <c r="E9" s="3">
        <v>442200</v>
      </c>
      <c r="F9" s="3">
        <v>447100</v>
      </c>
      <c r="G9" s="3">
        <v>453000</v>
      </c>
    </row>
    <row r="12" spans="1:11" ht="14.25" customHeight="1" x14ac:dyDescent="0.25">
      <c r="A12" s="1"/>
      <c r="B12" s="11" t="s">
        <v>13</v>
      </c>
      <c r="C12" s="11"/>
      <c r="D12" s="11"/>
      <c r="E12" s="11"/>
      <c r="F12" s="11"/>
      <c r="G12" s="11" t="s">
        <v>6</v>
      </c>
      <c r="H12" s="11"/>
      <c r="I12" s="11"/>
      <c r="J12" s="11"/>
      <c r="K12" s="11"/>
    </row>
    <row r="13" spans="1:11" ht="90" x14ac:dyDescent="0.25">
      <c r="A13" s="2"/>
      <c r="B13" s="8" t="s">
        <v>8</v>
      </c>
      <c r="C13" s="8" t="s">
        <v>9</v>
      </c>
      <c r="D13" s="8" t="s">
        <v>10</v>
      </c>
      <c r="E13" s="8" t="s">
        <v>11</v>
      </c>
      <c r="F13" s="8" t="s">
        <v>7</v>
      </c>
      <c r="G13" s="8" t="s">
        <v>8</v>
      </c>
      <c r="H13" s="8" t="s">
        <v>9</v>
      </c>
      <c r="I13" s="8" t="s">
        <v>10</v>
      </c>
      <c r="J13" s="8" t="s">
        <v>11</v>
      </c>
      <c r="K13" s="8" t="s">
        <v>7</v>
      </c>
    </row>
    <row r="14" spans="1:11" x14ac:dyDescent="0.25">
      <c r="A14" s="9" t="s">
        <v>5</v>
      </c>
      <c r="B14" s="7">
        <v>10937</v>
      </c>
      <c r="C14" s="3">
        <v>11406</v>
      </c>
      <c r="D14" s="3">
        <v>399843</v>
      </c>
      <c r="E14" s="3">
        <v>17930625</v>
      </c>
      <c r="F14" s="3">
        <v>19126250</v>
      </c>
      <c r="G14" s="3">
        <v>16800</v>
      </c>
      <c r="H14" s="3">
        <v>17000</v>
      </c>
      <c r="I14" s="3">
        <v>558800</v>
      </c>
      <c r="J14" s="3">
        <v>25077600</v>
      </c>
      <c r="K14" s="3">
        <v>26726800</v>
      </c>
    </row>
    <row r="15" spans="1:11" x14ac:dyDescent="0.25">
      <c r="A15" s="9" t="s">
        <v>3</v>
      </c>
      <c r="B15" s="7">
        <v>10781</v>
      </c>
      <c r="C15" s="3">
        <v>11093</v>
      </c>
      <c r="D15" s="3">
        <v>12031</v>
      </c>
      <c r="E15" s="3">
        <v>6718</v>
      </c>
      <c r="F15" s="7">
        <v>4687</v>
      </c>
      <c r="G15" s="3">
        <v>17200</v>
      </c>
      <c r="H15" s="3">
        <v>17300</v>
      </c>
      <c r="I15" s="3">
        <v>18200</v>
      </c>
      <c r="J15" s="3">
        <v>9700</v>
      </c>
      <c r="K15" s="3">
        <v>7300</v>
      </c>
    </row>
    <row r="16" spans="1:11" x14ac:dyDescent="0.25">
      <c r="A16" s="9" t="s">
        <v>4</v>
      </c>
      <c r="B16" s="7">
        <v>12968</v>
      </c>
      <c r="C16" s="3">
        <v>11406</v>
      </c>
      <c r="D16" s="3">
        <v>10156</v>
      </c>
      <c r="E16" s="3">
        <v>8906</v>
      </c>
      <c r="F16" s="7">
        <v>8437</v>
      </c>
      <c r="G16" s="3">
        <v>18000</v>
      </c>
      <c r="H16" s="3">
        <v>17200</v>
      </c>
      <c r="I16" s="3">
        <v>16000</v>
      </c>
      <c r="J16" s="3">
        <v>12400</v>
      </c>
      <c r="K16" s="7">
        <v>11500</v>
      </c>
    </row>
    <row r="17" spans="1:8" x14ac:dyDescent="0.25">
      <c r="A17" s="1"/>
    </row>
    <row r="18" spans="1:8" x14ac:dyDescent="0.25">
      <c r="A18" s="1"/>
    </row>
    <row r="19" spans="1:8" x14ac:dyDescent="0.25">
      <c r="C19" s="10"/>
      <c r="H19" s="10"/>
    </row>
    <row r="20" spans="1:8" x14ac:dyDescent="0.25">
      <c r="A20"/>
    </row>
    <row r="21" spans="1:8" x14ac:dyDescent="0.25">
      <c r="A21"/>
    </row>
    <row r="22" spans="1:8" x14ac:dyDescent="0.25">
      <c r="A22"/>
    </row>
    <row r="23" spans="1:8" x14ac:dyDescent="0.25">
      <c r="A23"/>
    </row>
    <row r="24" spans="1:8" x14ac:dyDescent="0.25">
      <c r="A24"/>
    </row>
    <row r="25" spans="1:8" x14ac:dyDescent="0.25">
      <c r="A25"/>
    </row>
    <row r="26" spans="1:8" x14ac:dyDescent="0.25">
      <c r="A26"/>
    </row>
    <row r="27" spans="1:8" x14ac:dyDescent="0.25">
      <c r="A27"/>
    </row>
    <row r="28" spans="1:8" x14ac:dyDescent="0.25">
      <c r="A28"/>
    </row>
    <row r="29" spans="1:8" x14ac:dyDescent="0.25">
      <c r="A29"/>
    </row>
  </sheetData>
  <mergeCells count="4">
    <mergeCell ref="G12:K12"/>
    <mergeCell ref="B12:F12"/>
    <mergeCell ref="B1:D1"/>
    <mergeCell ref="E1:G1"/>
  </mergeCells>
  <pageMargins left="0.7" right="0.7" top="0.75" bottom="0.75" header="0.3" footer="0.3"/>
  <pageSetup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FE768-AA87-41D6-9C80-D6513BE5FBC3}">
  <dimension ref="A1:O16"/>
  <sheetViews>
    <sheetView workbookViewId="0">
      <selection activeCell="D28" sqref="D28"/>
    </sheetView>
  </sheetViews>
  <sheetFormatPr defaultRowHeight="15" x14ac:dyDescent="0.25"/>
  <sheetData>
    <row r="1" spans="1:15" x14ac:dyDescent="0.25">
      <c r="A1" s="15" t="s">
        <v>14</v>
      </c>
      <c r="B1" s="16"/>
      <c r="C1" s="16"/>
      <c r="D1" s="16"/>
      <c r="E1" s="16"/>
      <c r="F1" s="16"/>
      <c r="G1" s="16"/>
      <c r="H1" s="16"/>
      <c r="I1" s="16"/>
      <c r="J1" s="16"/>
      <c r="K1" s="16"/>
      <c r="L1" s="16"/>
      <c r="M1" s="16"/>
      <c r="N1" s="16"/>
      <c r="O1" s="17"/>
    </row>
    <row r="2" spans="1:15" x14ac:dyDescent="0.25">
      <c r="A2" s="18"/>
      <c r="B2" s="19"/>
      <c r="C2" s="19"/>
      <c r="D2" s="19"/>
      <c r="E2" s="19"/>
      <c r="F2" s="19"/>
      <c r="G2" s="19"/>
      <c r="H2" s="19"/>
      <c r="I2" s="19"/>
      <c r="J2" s="19"/>
      <c r="K2" s="19"/>
      <c r="L2" s="19"/>
      <c r="M2" s="19"/>
      <c r="N2" s="19"/>
      <c r="O2" s="20"/>
    </row>
    <row r="3" spans="1:15" x14ac:dyDescent="0.25">
      <c r="A3" s="18"/>
      <c r="B3" s="19"/>
      <c r="C3" s="19"/>
      <c r="D3" s="19"/>
      <c r="E3" s="19"/>
      <c r="F3" s="19"/>
      <c r="G3" s="19"/>
      <c r="H3" s="19"/>
      <c r="I3" s="19"/>
      <c r="J3" s="19"/>
      <c r="K3" s="19"/>
      <c r="L3" s="19"/>
      <c r="M3" s="19"/>
      <c r="N3" s="19"/>
      <c r="O3" s="20"/>
    </row>
    <row r="4" spans="1:15" x14ac:dyDescent="0.25">
      <c r="A4" s="18"/>
      <c r="B4" s="19"/>
      <c r="C4" s="19"/>
      <c r="D4" s="19"/>
      <c r="E4" s="19"/>
      <c r="F4" s="19"/>
      <c r="G4" s="19"/>
      <c r="H4" s="19"/>
      <c r="I4" s="19"/>
      <c r="J4" s="19"/>
      <c r="K4" s="19"/>
      <c r="L4" s="19"/>
      <c r="M4" s="19"/>
      <c r="N4" s="19"/>
      <c r="O4" s="20"/>
    </row>
    <row r="5" spans="1:15" x14ac:dyDescent="0.25">
      <c r="A5" s="18"/>
      <c r="B5" s="19"/>
      <c r="C5" s="19"/>
      <c r="D5" s="19"/>
      <c r="E5" s="19"/>
      <c r="F5" s="19"/>
      <c r="G5" s="19"/>
      <c r="H5" s="19"/>
      <c r="I5" s="19"/>
      <c r="J5" s="19"/>
      <c r="K5" s="19"/>
      <c r="L5" s="19"/>
      <c r="M5" s="19"/>
      <c r="N5" s="19"/>
      <c r="O5" s="20"/>
    </row>
    <row r="6" spans="1:15" x14ac:dyDescent="0.25">
      <c r="A6" s="18"/>
      <c r="B6" s="19"/>
      <c r="C6" s="19"/>
      <c r="D6" s="19"/>
      <c r="E6" s="19"/>
      <c r="F6" s="19"/>
      <c r="G6" s="19"/>
      <c r="H6" s="19"/>
      <c r="I6" s="19"/>
      <c r="J6" s="19"/>
      <c r="K6" s="19"/>
      <c r="L6" s="19"/>
      <c r="M6" s="19"/>
      <c r="N6" s="19"/>
      <c r="O6" s="20"/>
    </row>
    <row r="7" spans="1:15" x14ac:dyDescent="0.25">
      <c r="A7" s="18"/>
      <c r="B7" s="19"/>
      <c r="C7" s="19"/>
      <c r="D7" s="19"/>
      <c r="E7" s="19"/>
      <c r="F7" s="19"/>
      <c r="G7" s="19"/>
      <c r="H7" s="19"/>
      <c r="I7" s="19"/>
      <c r="J7" s="19"/>
      <c r="K7" s="19"/>
      <c r="L7" s="19"/>
      <c r="M7" s="19"/>
      <c r="N7" s="19"/>
      <c r="O7" s="20"/>
    </row>
    <row r="8" spans="1:15" x14ac:dyDescent="0.25">
      <c r="A8" s="18"/>
      <c r="B8" s="19"/>
      <c r="C8" s="19"/>
      <c r="D8" s="19"/>
      <c r="E8" s="19"/>
      <c r="F8" s="19"/>
      <c r="G8" s="19"/>
      <c r="H8" s="19"/>
      <c r="I8" s="19"/>
      <c r="J8" s="19"/>
      <c r="K8" s="19"/>
      <c r="L8" s="19"/>
      <c r="M8" s="19"/>
      <c r="N8" s="19"/>
      <c r="O8" s="20"/>
    </row>
    <row r="9" spans="1:15" x14ac:dyDescent="0.25">
      <c r="A9" s="18"/>
      <c r="B9" s="19"/>
      <c r="C9" s="19"/>
      <c r="D9" s="19"/>
      <c r="E9" s="19"/>
      <c r="F9" s="19"/>
      <c r="G9" s="19"/>
      <c r="H9" s="19"/>
      <c r="I9" s="19"/>
      <c r="J9" s="19"/>
      <c r="K9" s="19"/>
      <c r="L9" s="19"/>
      <c r="M9" s="19"/>
      <c r="N9" s="19"/>
      <c r="O9" s="20"/>
    </row>
    <row r="10" spans="1:15" x14ac:dyDescent="0.25">
      <c r="A10" s="18"/>
      <c r="B10" s="19"/>
      <c r="C10" s="19"/>
      <c r="D10" s="19"/>
      <c r="E10" s="19"/>
      <c r="F10" s="19"/>
      <c r="G10" s="19"/>
      <c r="H10" s="19"/>
      <c r="I10" s="19"/>
      <c r="J10" s="19"/>
      <c r="K10" s="19"/>
      <c r="L10" s="19"/>
      <c r="M10" s="19"/>
      <c r="N10" s="19"/>
      <c r="O10" s="20"/>
    </row>
    <row r="11" spans="1:15" x14ac:dyDescent="0.25">
      <c r="A11" s="18"/>
      <c r="B11" s="19"/>
      <c r="C11" s="19"/>
      <c r="D11" s="19"/>
      <c r="E11" s="19"/>
      <c r="F11" s="19"/>
      <c r="G11" s="19"/>
      <c r="H11" s="19"/>
      <c r="I11" s="19"/>
      <c r="J11" s="19"/>
      <c r="K11" s="19"/>
      <c r="L11" s="19"/>
      <c r="M11" s="19"/>
      <c r="N11" s="19"/>
      <c r="O11" s="20"/>
    </row>
    <row r="12" spans="1:15" x14ac:dyDescent="0.25">
      <c r="A12" s="18"/>
      <c r="B12" s="19"/>
      <c r="C12" s="19"/>
      <c r="D12" s="19"/>
      <c r="E12" s="19"/>
      <c r="F12" s="19"/>
      <c r="G12" s="19"/>
      <c r="H12" s="19"/>
      <c r="I12" s="19"/>
      <c r="J12" s="19"/>
      <c r="K12" s="19"/>
      <c r="L12" s="19"/>
      <c r="M12" s="19"/>
      <c r="N12" s="19"/>
      <c r="O12" s="20"/>
    </row>
    <row r="13" spans="1:15" x14ac:dyDescent="0.25">
      <c r="A13" s="18"/>
      <c r="B13" s="19"/>
      <c r="C13" s="19"/>
      <c r="D13" s="19"/>
      <c r="E13" s="19"/>
      <c r="F13" s="19"/>
      <c r="G13" s="19"/>
      <c r="H13" s="19"/>
      <c r="I13" s="19"/>
      <c r="J13" s="19"/>
      <c r="K13" s="19"/>
      <c r="L13" s="19"/>
      <c r="M13" s="19"/>
      <c r="N13" s="19"/>
      <c r="O13" s="20"/>
    </row>
    <row r="14" spans="1:15" x14ac:dyDescent="0.25">
      <c r="A14" s="18"/>
      <c r="B14" s="19"/>
      <c r="C14" s="19"/>
      <c r="D14" s="19"/>
      <c r="E14" s="19"/>
      <c r="F14" s="19"/>
      <c r="G14" s="19"/>
      <c r="H14" s="19"/>
      <c r="I14" s="19"/>
      <c r="J14" s="19"/>
      <c r="K14" s="19"/>
      <c r="L14" s="19"/>
      <c r="M14" s="19"/>
      <c r="N14" s="19"/>
      <c r="O14" s="20"/>
    </row>
    <row r="15" spans="1:15" x14ac:dyDescent="0.25">
      <c r="A15" s="18"/>
      <c r="B15" s="19"/>
      <c r="C15" s="19"/>
      <c r="D15" s="19"/>
      <c r="E15" s="19"/>
      <c r="F15" s="19"/>
      <c r="G15" s="19"/>
      <c r="H15" s="19"/>
      <c r="I15" s="19"/>
      <c r="J15" s="19"/>
      <c r="K15" s="19"/>
      <c r="L15" s="19"/>
      <c r="M15" s="19"/>
      <c r="N15" s="19"/>
      <c r="O15" s="20"/>
    </row>
    <row r="16" spans="1:15" ht="15.75" thickBot="1" x14ac:dyDescent="0.3">
      <c r="A16" s="21"/>
      <c r="B16" s="22"/>
      <c r="C16" s="22"/>
      <c r="D16" s="22"/>
      <c r="E16" s="22"/>
      <c r="F16" s="22"/>
      <c r="G16" s="22"/>
      <c r="H16" s="22"/>
      <c r="I16" s="22"/>
      <c r="J16" s="22"/>
      <c r="K16" s="22"/>
      <c r="L16" s="22"/>
      <c r="M16" s="22"/>
      <c r="N16" s="22"/>
      <c r="O16" s="23"/>
    </row>
  </sheetData>
  <mergeCells count="1">
    <mergeCell ref="A1:O1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48F794EB95D34697C24E13F8E70711" ma:contentTypeVersion="11" ma:contentTypeDescription="Create a new document." ma:contentTypeScope="" ma:versionID="51e0d3bd7858d1ae0ee3bd77c9043cc1">
  <xsd:schema xmlns:xsd="http://www.w3.org/2001/XMLSchema" xmlns:xs="http://www.w3.org/2001/XMLSchema" xmlns:p="http://schemas.microsoft.com/office/2006/metadata/properties" xmlns:ns3="96379970-e81e-4d78-9ea2-0bf66d7a2dde" xmlns:ns4="e91ace7b-4c6c-4ae9-a27f-3bf9916a0094" targetNamespace="http://schemas.microsoft.com/office/2006/metadata/properties" ma:root="true" ma:fieldsID="6cf8d0b61f92a984173df4daf1386ce9" ns3:_="" ns4:_="">
    <xsd:import namespace="96379970-e81e-4d78-9ea2-0bf66d7a2dde"/>
    <xsd:import namespace="e91ace7b-4c6c-4ae9-a27f-3bf9916a0094"/>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379970-e81e-4d78-9ea2-0bf66d7a2d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1ace7b-4c6c-4ae9-a27f-3bf9916a009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6379970-e81e-4d78-9ea2-0bf66d7a2dd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4990AC-E9A0-4A5D-9521-EB804FB6C7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379970-e81e-4d78-9ea2-0bf66d7a2dde"/>
    <ds:schemaRef ds:uri="e91ace7b-4c6c-4ae9-a27f-3bf9916a00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C8FF13-9F74-4FB9-A71F-5902366276EA}">
  <ds:schemaRefs>
    <ds:schemaRef ds:uri="http://schemas.microsoft.com/office/2006/documentManagement/types"/>
    <ds:schemaRef ds:uri="http://purl.org/dc/terms/"/>
    <ds:schemaRef ds:uri="http://schemas.microsoft.com/office/2006/metadata/properties"/>
    <ds:schemaRef ds:uri="http://purl.org/dc/dcmitype/"/>
    <ds:schemaRef ds:uri="96379970-e81e-4d78-9ea2-0bf66d7a2dde"/>
    <ds:schemaRef ds:uri="http://www.w3.org/XML/1998/namespace"/>
    <ds:schemaRef ds:uri="e91ace7b-4c6c-4ae9-a27f-3bf9916a0094"/>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D2680113-FCEE-4B54-AA0E-217FBB3714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Conclusions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 French</dc:creator>
  <cp:lastModifiedBy>vinny alb</cp:lastModifiedBy>
  <cp:lastPrinted>2020-07-16T19:32:09Z</cp:lastPrinted>
  <dcterms:created xsi:type="dcterms:W3CDTF">2020-06-27T19:56:34Z</dcterms:created>
  <dcterms:modified xsi:type="dcterms:W3CDTF">2023-07-17T18:54:41Z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0x010100DB48F794EB95D34697C24E13F8E70711</vt:lpwstr>
  </property>
</Properties>
</file>